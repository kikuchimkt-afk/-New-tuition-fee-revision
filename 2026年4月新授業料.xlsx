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oto\Documents\アプリ開発\授業料調べ\"/>
    </mc:Choice>
  </mc:AlternateContent>
  <xr:revisionPtr revIDLastSave="0" documentId="13_ncr:1_{22D43EC7-7B0A-4931-B933-4A8472D12336}" xr6:coauthVersionLast="47" xr6:coauthVersionMax="47" xr10:uidLastSave="{00000000-0000-0000-0000-000000000000}"/>
  <bookViews>
    <workbookView xWindow="16815" yWindow="0" windowWidth="17130" windowHeight="21945" xr2:uid="{BB432760-2AD2-477D-9300-6FF3EADE9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1" l="1"/>
  <c r="E34" i="1"/>
  <c r="D34" i="1"/>
  <c r="C34" i="1"/>
  <c r="F28" i="1"/>
  <c r="E28" i="1"/>
  <c r="D28" i="1"/>
  <c r="C28" i="1"/>
  <c r="E17" i="1"/>
  <c r="E23" i="1"/>
  <c r="E6" i="1"/>
  <c r="E12" i="1"/>
  <c r="D59" i="1"/>
  <c r="C59" i="1"/>
  <c r="D53" i="1"/>
  <c r="C53" i="1"/>
  <c r="D48" i="1"/>
  <c r="C48" i="1"/>
  <c r="D42" i="1"/>
  <c r="C42" i="1"/>
  <c r="F23" i="1"/>
  <c r="D23" i="1"/>
  <c r="C23" i="1"/>
  <c r="B23" i="1"/>
  <c r="F17" i="1"/>
  <c r="D17" i="1"/>
  <c r="C17" i="1"/>
  <c r="B17" i="1"/>
  <c r="F12" i="1"/>
  <c r="D12" i="1"/>
  <c r="C12" i="1"/>
  <c r="B12" i="1"/>
  <c r="C6" i="1"/>
  <c r="D6" i="1"/>
  <c r="F6" i="1"/>
  <c r="B6" i="1"/>
</calcChain>
</file>

<file path=xl/sharedStrings.xml><?xml version="1.0" encoding="utf-8"?>
<sst xmlns="http://schemas.openxmlformats.org/spreadsheetml/2006/main" count="52" uniqueCount="18">
  <si>
    <t>小学生</t>
  </si>
  <si>
    <t>旧授業料</t>
    <phoneticPr fontId="3"/>
  </si>
  <si>
    <r>
      <t>週</t>
    </r>
    <r>
      <rPr>
        <sz val="11"/>
        <color rgb="FF000000"/>
        <rFont val="Calibri"/>
        <family val="2"/>
      </rPr>
      <t>1</t>
    </r>
    <r>
      <rPr>
        <sz val="11"/>
        <color rgb="FF000000"/>
        <rFont val="游ゴシック"/>
        <family val="3"/>
        <charset val="128"/>
        <scheme val="minor"/>
      </rPr>
      <t>コマ</t>
    </r>
  </si>
  <si>
    <t>諸費</t>
    <rPh sb="0" eb="2">
      <t>ショヒ</t>
    </rPh>
    <phoneticPr fontId="3"/>
  </si>
  <si>
    <t>合計</t>
    <rPh sb="0" eb="2">
      <t>ゴウケイ</t>
    </rPh>
    <phoneticPr fontId="3"/>
  </si>
  <si>
    <t>調整費</t>
    <rPh sb="0" eb="2">
      <t>チョウセイ</t>
    </rPh>
    <rPh sb="2" eb="3">
      <t>ヒ</t>
    </rPh>
    <phoneticPr fontId="3"/>
  </si>
  <si>
    <r>
      <t>週</t>
    </r>
    <r>
      <rPr>
        <sz val="11"/>
        <color rgb="FF000000"/>
        <rFont val="Calibri"/>
        <family val="2"/>
      </rPr>
      <t>2</t>
    </r>
    <r>
      <rPr>
        <sz val="11"/>
        <color rgb="FF000000"/>
        <rFont val="游ゴシック"/>
        <family val="3"/>
        <charset val="128"/>
        <scheme val="minor"/>
      </rPr>
      <t>コマ</t>
    </r>
    <phoneticPr fontId="3"/>
  </si>
  <si>
    <t>新授業料</t>
    <rPh sb="0" eb="1">
      <t>シン</t>
    </rPh>
    <phoneticPr fontId="3"/>
  </si>
  <si>
    <t>新授業料</t>
    <phoneticPr fontId="3"/>
  </si>
  <si>
    <t>グループ</t>
    <phoneticPr fontId="3"/>
  </si>
  <si>
    <t>中学生５教科対応 特別プラン</t>
    <rPh sb="0" eb="3">
      <t>チュウガクセイ</t>
    </rPh>
    <rPh sb="4" eb="6">
      <t>キョウカ</t>
    </rPh>
    <rPh sb="6" eb="8">
      <t>タイオウ</t>
    </rPh>
    <rPh sb="9" eb="11">
      <t>トクベツ</t>
    </rPh>
    <phoneticPr fontId="3"/>
  </si>
  <si>
    <r>
      <t>週</t>
    </r>
    <r>
      <rPr>
        <sz val="11"/>
        <color rgb="FF000000"/>
        <rFont val="Calibri"/>
        <family val="2"/>
      </rPr>
      <t>1</t>
    </r>
    <r>
      <rPr>
        <sz val="11"/>
        <color rgb="FF000000"/>
        <rFont val="游ゴシック"/>
        <family val="3"/>
        <charset val="128"/>
        <scheme val="minor"/>
      </rPr>
      <t>コマ</t>
    </r>
    <phoneticPr fontId="3"/>
  </si>
  <si>
    <t>高校1・2年生</t>
    <phoneticPr fontId="3"/>
  </si>
  <si>
    <t>中学3年生</t>
    <rPh sb="3" eb="5">
      <t>ネンセイ</t>
    </rPh>
    <phoneticPr fontId="3"/>
  </si>
  <si>
    <r>
      <t>週</t>
    </r>
    <r>
      <rPr>
        <sz val="11"/>
        <color rgb="FF000000"/>
        <rFont val="Calibri"/>
        <family val="2"/>
      </rPr>
      <t>3</t>
    </r>
    <r>
      <rPr>
        <sz val="11"/>
        <color rgb="FF000000"/>
        <rFont val="游ゴシック"/>
        <family val="3"/>
        <charset val="128"/>
        <scheme val="minor"/>
      </rPr>
      <t>コマ</t>
    </r>
    <phoneticPr fontId="3"/>
  </si>
  <si>
    <t>各学年 個別のみ</t>
    <rPh sb="0" eb="3">
      <t>カクガクネン</t>
    </rPh>
    <rPh sb="4" eb="6">
      <t>コベツ</t>
    </rPh>
    <phoneticPr fontId="3"/>
  </si>
  <si>
    <r>
      <t>中学</t>
    </r>
    <r>
      <rPr>
        <b/>
        <sz val="11"/>
        <color rgb="FF000000"/>
        <rFont val="Calibri"/>
        <family val="2"/>
      </rPr>
      <t>1</t>
    </r>
    <r>
      <rPr>
        <b/>
        <sz val="11"/>
        <color rgb="FF000000"/>
        <rFont val="游ゴシック"/>
        <family val="3"/>
        <charset val="128"/>
        <scheme val="minor"/>
      </rPr>
      <t>・</t>
    </r>
    <r>
      <rPr>
        <b/>
        <sz val="11"/>
        <color rgb="FF000000"/>
        <rFont val="Calibri"/>
        <family val="2"/>
      </rPr>
      <t>2</t>
    </r>
    <r>
      <rPr>
        <b/>
        <sz val="11"/>
        <color rgb="FF000000"/>
        <rFont val="游ゴシック"/>
        <family val="3"/>
        <charset val="128"/>
        <scheme val="minor"/>
      </rPr>
      <t>年生</t>
    </r>
  </si>
  <si>
    <r>
      <t>高校</t>
    </r>
    <r>
      <rPr>
        <b/>
        <sz val="11"/>
        <color rgb="FF000000"/>
        <rFont val="Calibri"/>
        <family val="2"/>
      </rPr>
      <t>3</t>
    </r>
    <r>
      <rPr>
        <b/>
        <sz val="11"/>
        <color rgb="FF000000"/>
        <rFont val="游ゴシック"/>
        <family val="3"/>
        <charset val="128"/>
        <scheme val="minor"/>
      </rPr>
      <t>年生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</si>
</sst>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Calibri"/>
      <family val="2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4" fillId="0" borderId="4" xfId="0" applyFont="1" applyBorder="1" applyAlignment="1">
      <alignment horizontal="left" vertical="center" readingOrder="1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6" fontId="4" fillId="0" borderId="0" xfId="1" applyFont="1" applyBorder="1">
      <alignment vertical="center"/>
    </xf>
    <xf numFmtId="6" fontId="6" fillId="0" borderId="0" xfId="1" applyFont="1" applyBorder="1">
      <alignment vertical="center"/>
    </xf>
    <xf numFmtId="6" fontId="6" fillId="0" borderId="5" xfId="1" applyFont="1" applyBorder="1">
      <alignment vertical="center"/>
    </xf>
    <xf numFmtId="6" fontId="6" fillId="0" borderId="0" xfId="1" applyFont="1">
      <alignment vertical="center"/>
    </xf>
    <xf numFmtId="0" fontId="4" fillId="2" borderId="4" xfId="0" applyFont="1" applyFill="1" applyBorder="1" applyAlignment="1">
      <alignment horizontal="left" vertical="center" readingOrder="1"/>
    </xf>
    <xf numFmtId="0" fontId="4" fillId="3" borderId="4" xfId="0" applyFont="1" applyFill="1" applyBorder="1" applyAlignment="1">
      <alignment horizontal="left" vertical="center" readingOrder="1"/>
    </xf>
    <xf numFmtId="6" fontId="7" fillId="0" borderId="0" xfId="1" applyFont="1" applyBorder="1">
      <alignment vertical="center"/>
    </xf>
    <xf numFmtId="0" fontId="4" fillId="4" borderId="4" xfId="0" applyFont="1" applyFill="1" applyBorder="1" applyAlignment="1">
      <alignment horizontal="left" vertical="center" readingOrder="1"/>
    </xf>
    <xf numFmtId="0" fontId="0" fillId="0" borderId="9" xfId="0" applyBorder="1">
      <alignment vertical="center"/>
    </xf>
    <xf numFmtId="6" fontId="7" fillId="0" borderId="9" xfId="1" applyFont="1" applyBorder="1">
      <alignment vertical="center"/>
    </xf>
    <xf numFmtId="0" fontId="4" fillId="5" borderId="1" xfId="0" applyFont="1" applyFill="1" applyBorder="1" applyAlignment="1">
      <alignment horizontal="left" vertical="center" readingOrder="1"/>
    </xf>
    <xf numFmtId="0" fontId="6" fillId="5" borderId="2" xfId="0" applyFont="1" applyFill="1" applyBorder="1">
      <alignment vertical="center"/>
    </xf>
    <xf numFmtId="0" fontId="6" fillId="5" borderId="3" xfId="0" applyFont="1" applyFill="1" applyBorder="1">
      <alignment vertical="center"/>
    </xf>
    <xf numFmtId="0" fontId="4" fillId="5" borderId="4" xfId="0" applyFont="1" applyFill="1" applyBorder="1" applyAlignment="1">
      <alignment horizontal="left" vertical="center" readingOrder="1"/>
    </xf>
    <xf numFmtId="6" fontId="6" fillId="5" borderId="0" xfId="1" applyFont="1" applyFill="1" applyBorder="1">
      <alignment vertical="center"/>
    </xf>
    <xf numFmtId="6" fontId="6" fillId="5" borderId="5" xfId="1" applyFont="1" applyFill="1" applyBorder="1">
      <alignment vertical="center"/>
    </xf>
    <xf numFmtId="6" fontId="6" fillId="5" borderId="2" xfId="1" applyFont="1" applyFill="1" applyBorder="1">
      <alignment vertical="center"/>
    </xf>
    <xf numFmtId="6" fontId="6" fillId="5" borderId="3" xfId="1" applyFont="1" applyFill="1" applyBorder="1">
      <alignment vertical="center"/>
    </xf>
    <xf numFmtId="0" fontId="8" fillId="0" borderId="4" xfId="0" applyFont="1" applyBorder="1">
      <alignment vertical="center"/>
    </xf>
    <xf numFmtId="6" fontId="8" fillId="0" borderId="0" xfId="1" applyFont="1" applyBorder="1">
      <alignment vertical="center"/>
    </xf>
    <xf numFmtId="6" fontId="9" fillId="0" borderId="0" xfId="1" applyFont="1" applyBorder="1">
      <alignment vertical="center"/>
    </xf>
    <xf numFmtId="6" fontId="9" fillId="0" borderId="5" xfId="1" applyFont="1" applyBorder="1">
      <alignment vertical="center"/>
    </xf>
    <xf numFmtId="0" fontId="8" fillId="0" borderId="0" xfId="0" applyFont="1">
      <alignment vertical="center"/>
    </xf>
    <xf numFmtId="0" fontId="8" fillId="0" borderId="6" xfId="0" applyFont="1" applyBorder="1">
      <alignment vertical="center"/>
    </xf>
    <xf numFmtId="6" fontId="8" fillId="0" borderId="7" xfId="1" applyFont="1" applyBorder="1">
      <alignment vertical="center"/>
    </xf>
    <xf numFmtId="6" fontId="9" fillId="0" borderId="7" xfId="1" applyFont="1" applyBorder="1">
      <alignment vertical="center"/>
    </xf>
    <xf numFmtId="6" fontId="9" fillId="0" borderId="8" xfId="1" applyFont="1" applyBorder="1">
      <alignment vertical="center"/>
    </xf>
    <xf numFmtId="6" fontId="8" fillId="0" borderId="5" xfId="1" applyFont="1" applyBorder="1">
      <alignment vertical="center"/>
    </xf>
    <xf numFmtId="6" fontId="8" fillId="0" borderId="8" xfId="1" applyFont="1" applyBorder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readingOrder="1"/>
    </xf>
    <xf numFmtId="6" fontId="8" fillId="6" borderId="7" xfId="1" applyFont="1" applyFill="1" applyBorder="1">
      <alignment vertical="center"/>
    </xf>
    <xf numFmtId="6" fontId="8" fillId="7" borderId="7" xfId="1" applyFont="1" applyFill="1" applyBorder="1">
      <alignment vertical="center"/>
    </xf>
    <xf numFmtId="6" fontId="9" fillId="6" borderId="7" xfId="1" applyFont="1" applyFill="1" applyBorder="1">
      <alignment vertical="center"/>
    </xf>
    <xf numFmtId="6" fontId="9" fillId="7" borderId="7" xfId="1" applyFont="1" applyFill="1" applyBorder="1">
      <alignment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C08C-8F7E-40FE-9F0A-83F553E4E4B1}">
  <dimension ref="A1:F59"/>
  <sheetViews>
    <sheetView tabSelected="1" topLeftCell="A4" zoomScale="85" zoomScaleNormal="85" workbookViewId="0">
      <selection activeCell="F45" sqref="F45"/>
    </sheetView>
  </sheetViews>
  <sheetFormatPr defaultRowHeight="18.75" x14ac:dyDescent="0.4"/>
  <cols>
    <col min="2" max="6" width="20.375" customWidth="1"/>
  </cols>
  <sheetData>
    <row r="1" spans="1:6" x14ac:dyDescent="0.4">
      <c r="A1" t="s">
        <v>15</v>
      </c>
    </row>
    <row r="2" spans="1:6" s="33" customFormat="1" thickBot="1" x14ac:dyDescent="0.45">
      <c r="B2" s="34" t="s">
        <v>0</v>
      </c>
      <c r="C2" s="34" t="s">
        <v>16</v>
      </c>
      <c r="D2" s="34" t="s">
        <v>13</v>
      </c>
      <c r="E2" s="34" t="s">
        <v>12</v>
      </c>
      <c r="F2" s="34" t="s">
        <v>17</v>
      </c>
    </row>
    <row r="3" spans="1:6" x14ac:dyDescent="0.4">
      <c r="A3" s="14" t="s">
        <v>1</v>
      </c>
      <c r="B3" s="15"/>
      <c r="C3" s="15"/>
      <c r="D3" s="15"/>
      <c r="E3" s="15"/>
      <c r="F3" s="16"/>
    </row>
    <row r="4" spans="1:6" x14ac:dyDescent="0.4">
      <c r="A4" s="8" t="s">
        <v>2</v>
      </c>
      <c r="B4" s="4">
        <v>16090</v>
      </c>
      <c r="C4" s="5">
        <v>17550</v>
      </c>
      <c r="D4" s="5">
        <v>18500</v>
      </c>
      <c r="E4" s="5">
        <v>18500</v>
      </c>
      <c r="F4" s="6">
        <v>19360</v>
      </c>
    </row>
    <row r="5" spans="1:6" x14ac:dyDescent="0.4">
      <c r="A5" s="3" t="s">
        <v>3</v>
      </c>
      <c r="B5" s="5">
        <v>3600</v>
      </c>
      <c r="C5" s="5">
        <v>3600</v>
      </c>
      <c r="D5" s="5">
        <v>3600</v>
      </c>
      <c r="E5" s="5">
        <v>3600</v>
      </c>
      <c r="F5" s="6">
        <v>3600</v>
      </c>
    </row>
    <row r="6" spans="1:6" s="26" customFormat="1" ht="18" x14ac:dyDescent="0.4">
      <c r="A6" s="22" t="s">
        <v>4</v>
      </c>
      <c r="B6" s="23">
        <f>SUM(B4:B5)</f>
        <v>19690</v>
      </c>
      <c r="C6" s="23">
        <f t="shared" ref="C6:F6" si="0">SUM(C4:C5)</f>
        <v>21150</v>
      </c>
      <c r="D6" s="23">
        <f t="shared" si="0"/>
        <v>22100</v>
      </c>
      <c r="E6" s="24">
        <f t="shared" si="0"/>
        <v>22100</v>
      </c>
      <c r="F6" s="25">
        <f t="shared" si="0"/>
        <v>22960</v>
      </c>
    </row>
    <row r="7" spans="1:6" x14ac:dyDescent="0.4">
      <c r="A7" s="3"/>
      <c r="B7" s="5"/>
      <c r="C7" s="5"/>
      <c r="D7" s="5"/>
      <c r="E7" s="5"/>
      <c r="F7" s="6"/>
    </row>
    <row r="8" spans="1:6" x14ac:dyDescent="0.4">
      <c r="A8" s="17" t="s">
        <v>7</v>
      </c>
      <c r="B8" s="18"/>
      <c r="C8" s="18"/>
      <c r="D8" s="18"/>
      <c r="E8" s="18"/>
      <c r="F8" s="19"/>
    </row>
    <row r="9" spans="1:6" x14ac:dyDescent="0.4">
      <c r="A9" s="8" t="s">
        <v>2</v>
      </c>
      <c r="B9" s="4">
        <v>16090</v>
      </c>
      <c r="C9" s="5">
        <v>17550</v>
      </c>
      <c r="D9" s="5">
        <v>18500</v>
      </c>
      <c r="E9" s="5">
        <v>18500</v>
      </c>
      <c r="F9" s="6">
        <v>19360</v>
      </c>
    </row>
    <row r="10" spans="1:6" x14ac:dyDescent="0.4">
      <c r="A10" s="1" t="s">
        <v>5</v>
      </c>
      <c r="B10" s="4">
        <v>0</v>
      </c>
      <c r="C10" s="5">
        <v>4598</v>
      </c>
      <c r="D10" s="5">
        <v>4840</v>
      </c>
      <c r="E10" s="5">
        <v>4840</v>
      </c>
      <c r="F10" s="6">
        <v>5082</v>
      </c>
    </row>
    <row r="11" spans="1:6" x14ac:dyDescent="0.4">
      <c r="A11" s="3" t="s">
        <v>3</v>
      </c>
      <c r="B11" s="5">
        <v>3600</v>
      </c>
      <c r="C11" s="5">
        <v>3600</v>
      </c>
      <c r="D11" s="5">
        <v>3600</v>
      </c>
      <c r="E11" s="5">
        <v>3600</v>
      </c>
      <c r="F11" s="6">
        <v>3600</v>
      </c>
    </row>
    <row r="12" spans="1:6" s="26" customFormat="1" thickBot="1" x14ac:dyDescent="0.45">
      <c r="A12" s="27" t="s">
        <v>4</v>
      </c>
      <c r="B12" s="28">
        <f>SUM(B9:B11)</f>
        <v>19690</v>
      </c>
      <c r="C12" s="35">
        <f t="shared" ref="C12" si="1">SUM(C9:C11)</f>
        <v>25748</v>
      </c>
      <c r="D12" s="35">
        <f t="shared" ref="D12:E12" si="2">SUM(D9:D11)</f>
        <v>26940</v>
      </c>
      <c r="E12" s="29">
        <f t="shared" si="2"/>
        <v>26940</v>
      </c>
      <c r="F12" s="30">
        <f t="shared" ref="F12" si="3">SUM(F9:F11)</f>
        <v>28042</v>
      </c>
    </row>
    <row r="13" spans="1:6" ht="19.5" thickBot="1" x14ac:dyDescent="0.45">
      <c r="B13" s="7"/>
      <c r="C13" s="7"/>
      <c r="D13" s="7"/>
      <c r="E13" s="7"/>
      <c r="F13" s="7"/>
    </row>
    <row r="14" spans="1:6" x14ac:dyDescent="0.4">
      <c r="A14" s="14" t="s">
        <v>1</v>
      </c>
      <c r="B14" s="20"/>
      <c r="C14" s="20"/>
      <c r="D14" s="20"/>
      <c r="E14" s="20"/>
      <c r="F14" s="21"/>
    </row>
    <row r="15" spans="1:6" x14ac:dyDescent="0.4">
      <c r="A15" s="9" t="s">
        <v>6</v>
      </c>
      <c r="B15" s="5">
        <v>30490</v>
      </c>
      <c r="C15" s="5">
        <v>33400</v>
      </c>
      <c r="D15" s="5">
        <v>35090</v>
      </c>
      <c r="E15" s="5">
        <v>35090</v>
      </c>
      <c r="F15" s="6">
        <v>36910</v>
      </c>
    </row>
    <row r="16" spans="1:6" x14ac:dyDescent="0.4">
      <c r="A16" s="3" t="s">
        <v>3</v>
      </c>
      <c r="B16" s="5">
        <v>3600</v>
      </c>
      <c r="C16" s="5">
        <v>3600</v>
      </c>
      <c r="D16" s="5">
        <v>3600</v>
      </c>
      <c r="E16" s="5">
        <v>3600</v>
      </c>
      <c r="F16" s="6">
        <v>3600</v>
      </c>
    </row>
    <row r="17" spans="1:6" s="26" customFormat="1" ht="18" x14ac:dyDescent="0.4">
      <c r="A17" s="22" t="s">
        <v>4</v>
      </c>
      <c r="B17" s="23">
        <f>SUM(B15:B16)</f>
        <v>34090</v>
      </c>
      <c r="C17" s="23">
        <f t="shared" ref="C17" si="4">SUM(C15:C16)</f>
        <v>37000</v>
      </c>
      <c r="D17" s="23">
        <f t="shared" ref="D17:E17" si="5">SUM(D15:D16)</f>
        <v>38690</v>
      </c>
      <c r="E17" s="24">
        <f t="shared" si="5"/>
        <v>38690</v>
      </c>
      <c r="F17" s="25">
        <f t="shared" ref="F17" si="6">SUM(F15:F16)</f>
        <v>40510</v>
      </c>
    </row>
    <row r="18" spans="1:6" x14ac:dyDescent="0.4">
      <c r="A18" s="3"/>
      <c r="B18" s="5"/>
      <c r="C18" s="5"/>
      <c r="D18" s="5"/>
      <c r="E18" s="5"/>
      <c r="F18" s="6"/>
    </row>
    <row r="19" spans="1:6" x14ac:dyDescent="0.4">
      <c r="A19" s="17" t="s">
        <v>8</v>
      </c>
      <c r="B19" s="18"/>
      <c r="C19" s="18"/>
      <c r="D19" s="18"/>
      <c r="E19" s="18"/>
      <c r="F19" s="19"/>
    </row>
    <row r="20" spans="1:6" x14ac:dyDescent="0.4">
      <c r="A20" s="9" t="s">
        <v>6</v>
      </c>
      <c r="B20" s="4">
        <v>30490</v>
      </c>
      <c r="C20" s="5">
        <v>33400</v>
      </c>
      <c r="D20" s="5">
        <v>35090</v>
      </c>
      <c r="E20" s="5">
        <v>35090</v>
      </c>
      <c r="F20" s="6">
        <v>36910</v>
      </c>
    </row>
    <row r="21" spans="1:6" x14ac:dyDescent="0.4">
      <c r="A21" s="1" t="s">
        <v>5</v>
      </c>
      <c r="B21" s="4">
        <v>0</v>
      </c>
      <c r="C21" s="5">
        <v>4598</v>
      </c>
      <c r="D21" s="5">
        <v>4840</v>
      </c>
      <c r="E21" s="5">
        <v>4840</v>
      </c>
      <c r="F21" s="6">
        <v>5082</v>
      </c>
    </row>
    <row r="22" spans="1:6" x14ac:dyDescent="0.4">
      <c r="A22" s="3" t="s">
        <v>3</v>
      </c>
      <c r="B22" s="5">
        <v>3600</v>
      </c>
      <c r="C22" s="5">
        <v>3600</v>
      </c>
      <c r="D22" s="5">
        <v>3600</v>
      </c>
      <c r="E22" s="5">
        <v>3600</v>
      </c>
      <c r="F22" s="6">
        <v>3600</v>
      </c>
    </row>
    <row r="23" spans="1:6" s="26" customFormat="1" thickBot="1" x14ac:dyDescent="0.45">
      <c r="A23" s="27" t="s">
        <v>4</v>
      </c>
      <c r="B23" s="28">
        <f>SUM(B20:B22)</f>
        <v>34090</v>
      </c>
      <c r="C23" s="36">
        <f t="shared" ref="C23" si="7">SUM(C20:C22)</f>
        <v>41598</v>
      </c>
      <c r="D23" s="36">
        <f t="shared" ref="D23:E23" si="8">SUM(D20:D22)</f>
        <v>43530</v>
      </c>
      <c r="E23" s="29">
        <f t="shared" si="8"/>
        <v>43530</v>
      </c>
      <c r="F23" s="30">
        <f t="shared" ref="F23" si="9">SUM(F20:F22)</f>
        <v>45592</v>
      </c>
    </row>
    <row r="24" spans="1:6" ht="19.5" thickBot="1" x14ac:dyDescent="0.45">
      <c r="A24" s="12"/>
      <c r="B24" s="5"/>
      <c r="C24" s="5"/>
      <c r="D24" s="5"/>
      <c r="E24" s="10"/>
      <c r="F24" s="13"/>
    </row>
    <row r="25" spans="1:6" x14ac:dyDescent="0.4">
      <c r="A25" s="14" t="s">
        <v>1</v>
      </c>
      <c r="B25" s="20"/>
      <c r="C25" s="20"/>
      <c r="D25" s="20"/>
      <c r="E25" s="20"/>
      <c r="F25" s="21"/>
    </row>
    <row r="26" spans="1:6" x14ac:dyDescent="0.4">
      <c r="A26" s="11" t="s">
        <v>14</v>
      </c>
      <c r="B26" s="5"/>
      <c r="C26" s="5">
        <v>47550</v>
      </c>
      <c r="D26" s="5">
        <v>50090</v>
      </c>
      <c r="E26" s="5">
        <v>50090</v>
      </c>
      <c r="F26" s="6">
        <v>52510</v>
      </c>
    </row>
    <row r="27" spans="1:6" x14ac:dyDescent="0.4">
      <c r="A27" s="3" t="s">
        <v>3</v>
      </c>
      <c r="B27" s="5"/>
      <c r="C27" s="5">
        <v>3600</v>
      </c>
      <c r="D27" s="5">
        <v>3600</v>
      </c>
      <c r="E27" s="5">
        <v>3600</v>
      </c>
      <c r="F27" s="6">
        <v>3600</v>
      </c>
    </row>
    <row r="28" spans="1:6" s="26" customFormat="1" ht="18" x14ac:dyDescent="0.4">
      <c r="A28" s="22" t="s">
        <v>4</v>
      </c>
      <c r="B28" s="23"/>
      <c r="C28" s="23">
        <f t="shared" ref="C28" si="10">SUM(C26:C27)</f>
        <v>51150</v>
      </c>
      <c r="D28" s="23">
        <f t="shared" ref="D28" si="11">SUM(D26:D27)</f>
        <v>53690</v>
      </c>
      <c r="E28" s="24">
        <f t="shared" ref="E28" si="12">SUM(E26:E27)</f>
        <v>53690</v>
      </c>
      <c r="F28" s="25">
        <f t="shared" ref="F28" si="13">SUM(F26:F27)</f>
        <v>56110</v>
      </c>
    </row>
    <row r="29" spans="1:6" x14ac:dyDescent="0.4">
      <c r="A29" s="3"/>
      <c r="B29" s="5"/>
      <c r="C29" s="5"/>
      <c r="D29" s="5"/>
      <c r="E29" s="5"/>
      <c r="F29" s="6"/>
    </row>
    <row r="30" spans="1:6" x14ac:dyDescent="0.4">
      <c r="A30" s="17" t="s">
        <v>8</v>
      </c>
      <c r="B30" s="18"/>
      <c r="C30" s="18"/>
      <c r="D30" s="18"/>
      <c r="E30" s="18"/>
      <c r="F30" s="19"/>
    </row>
    <row r="31" spans="1:6" x14ac:dyDescent="0.4">
      <c r="A31" s="11" t="s">
        <v>14</v>
      </c>
      <c r="B31" s="4"/>
      <c r="C31" s="5">
        <v>47550</v>
      </c>
      <c r="D31" s="5">
        <v>50090</v>
      </c>
      <c r="E31" s="5">
        <v>50090</v>
      </c>
      <c r="F31" s="6">
        <v>52510</v>
      </c>
    </row>
    <row r="32" spans="1:6" x14ac:dyDescent="0.4">
      <c r="A32" s="1" t="s">
        <v>5</v>
      </c>
      <c r="B32" s="4"/>
      <c r="C32" s="5">
        <v>4598</v>
      </c>
      <c r="D32" s="5">
        <v>4840</v>
      </c>
      <c r="E32" s="5">
        <v>4840</v>
      </c>
      <c r="F32" s="6">
        <v>5082</v>
      </c>
    </row>
    <row r="33" spans="1:6" x14ac:dyDescent="0.4">
      <c r="A33" s="3" t="s">
        <v>3</v>
      </c>
      <c r="B33" s="5"/>
      <c r="C33" s="5">
        <v>3600</v>
      </c>
      <c r="D33" s="5">
        <v>3600</v>
      </c>
      <c r="E33" s="5">
        <v>3600</v>
      </c>
      <c r="F33" s="6">
        <v>3600</v>
      </c>
    </row>
    <row r="34" spans="1:6" s="26" customFormat="1" thickBot="1" x14ac:dyDescent="0.45">
      <c r="A34" s="27" t="s">
        <v>4</v>
      </c>
      <c r="B34" s="28"/>
      <c r="C34" s="28">
        <f t="shared" ref="C34" si="14">SUM(C31:C33)</f>
        <v>55748</v>
      </c>
      <c r="D34" s="28">
        <f t="shared" ref="D34" si="15">SUM(D31:D33)</f>
        <v>58530</v>
      </c>
      <c r="E34" s="29">
        <f t="shared" ref="E34" si="16">SUM(E31:E33)</f>
        <v>58530</v>
      </c>
      <c r="F34" s="30">
        <f t="shared" ref="F34" si="17">SUM(F31:F33)</f>
        <v>61192</v>
      </c>
    </row>
    <row r="35" spans="1:6" x14ac:dyDescent="0.4">
      <c r="A35" s="2"/>
      <c r="B35" s="5"/>
      <c r="C35" s="5"/>
      <c r="D35" s="5"/>
      <c r="E35" s="10"/>
      <c r="F35" s="10"/>
    </row>
    <row r="36" spans="1:6" x14ac:dyDescent="0.4">
      <c r="A36" s="2"/>
      <c r="B36" s="5"/>
      <c r="C36" s="5"/>
      <c r="D36" s="5"/>
      <c r="E36" s="10"/>
      <c r="F36" s="10"/>
    </row>
    <row r="37" spans="1:6" x14ac:dyDescent="0.4">
      <c r="B37" s="7"/>
      <c r="C37" s="7"/>
      <c r="D37" s="7"/>
      <c r="E37" s="7"/>
      <c r="F37" s="7"/>
    </row>
    <row r="38" spans="1:6" ht="19.5" thickBot="1" x14ac:dyDescent="0.45">
      <c r="A38" t="s">
        <v>10</v>
      </c>
      <c r="B38" s="7"/>
      <c r="C38" s="7"/>
      <c r="D38" s="7"/>
      <c r="E38" s="7"/>
      <c r="F38" s="7"/>
    </row>
    <row r="39" spans="1:6" x14ac:dyDescent="0.4">
      <c r="A39" s="14" t="s">
        <v>1</v>
      </c>
      <c r="B39" s="20"/>
      <c r="C39" s="20"/>
      <c r="D39" s="20"/>
      <c r="E39" s="20"/>
      <c r="F39" s="21"/>
    </row>
    <row r="40" spans="1:6" x14ac:dyDescent="0.4">
      <c r="A40" s="8" t="s">
        <v>11</v>
      </c>
      <c r="B40" s="4"/>
      <c r="C40" s="5">
        <v>17550</v>
      </c>
      <c r="D40" s="5">
        <v>18500</v>
      </c>
      <c r="E40" s="5"/>
      <c r="F40" s="6"/>
    </row>
    <row r="41" spans="1:6" x14ac:dyDescent="0.4">
      <c r="A41" s="3" t="s">
        <v>3</v>
      </c>
      <c r="B41" s="5"/>
      <c r="C41" s="5">
        <v>3600</v>
      </c>
      <c r="D41" s="5">
        <v>3600</v>
      </c>
      <c r="E41" s="5"/>
      <c r="F41" s="6"/>
    </row>
    <row r="42" spans="1:6" s="26" customFormat="1" ht="18" x14ac:dyDescent="0.4">
      <c r="A42" s="22" t="s">
        <v>4</v>
      </c>
      <c r="B42" s="23"/>
      <c r="C42" s="23">
        <f t="shared" ref="C42" si="18">SUM(C40:C41)</f>
        <v>21150</v>
      </c>
      <c r="D42" s="23">
        <f t="shared" ref="D42" si="19">SUM(D40:D41)</f>
        <v>22100</v>
      </c>
      <c r="E42" s="23"/>
      <c r="F42" s="31"/>
    </row>
    <row r="43" spans="1:6" x14ac:dyDescent="0.4">
      <c r="A43" s="3"/>
      <c r="B43" s="5"/>
      <c r="C43" s="5"/>
      <c r="D43" s="5"/>
      <c r="E43" s="5"/>
      <c r="F43" s="6"/>
    </row>
    <row r="44" spans="1:6" x14ac:dyDescent="0.4">
      <c r="A44" s="17" t="s">
        <v>8</v>
      </c>
      <c r="B44" s="18"/>
      <c r="C44" s="18"/>
      <c r="D44" s="18"/>
      <c r="E44" s="18"/>
      <c r="F44" s="19"/>
    </row>
    <row r="45" spans="1:6" x14ac:dyDescent="0.4">
      <c r="A45" s="8" t="s">
        <v>11</v>
      </c>
      <c r="B45" s="4"/>
      <c r="C45" s="5">
        <v>17550</v>
      </c>
      <c r="D45" s="5">
        <v>18500</v>
      </c>
      <c r="E45" s="5"/>
      <c r="F45" s="6"/>
    </row>
    <row r="46" spans="1:6" x14ac:dyDescent="0.4">
      <c r="A46" s="1" t="s">
        <v>9</v>
      </c>
      <c r="B46" s="4"/>
      <c r="C46" s="5">
        <v>9196</v>
      </c>
      <c r="D46" s="5">
        <v>9680</v>
      </c>
      <c r="E46" s="5"/>
      <c r="F46" s="6"/>
    </row>
    <row r="47" spans="1:6" x14ac:dyDescent="0.4">
      <c r="A47" s="3" t="s">
        <v>3</v>
      </c>
      <c r="B47" s="5"/>
      <c r="C47" s="5">
        <v>3600</v>
      </c>
      <c r="D47" s="5">
        <v>3600</v>
      </c>
      <c r="E47" s="5"/>
      <c r="F47" s="6"/>
    </row>
    <row r="48" spans="1:6" s="26" customFormat="1" thickBot="1" x14ac:dyDescent="0.45">
      <c r="A48" s="27" t="s">
        <v>4</v>
      </c>
      <c r="B48" s="28"/>
      <c r="C48" s="37">
        <f t="shared" ref="C48" si="20">SUM(C45:C47)</f>
        <v>30346</v>
      </c>
      <c r="D48" s="37">
        <f t="shared" ref="D48" si="21">SUM(D45:D47)</f>
        <v>31780</v>
      </c>
      <c r="E48" s="28"/>
      <c r="F48" s="32"/>
    </row>
    <row r="49" spans="1:6" ht="19.5" thickBot="1" x14ac:dyDescent="0.45">
      <c r="B49" s="7"/>
      <c r="C49" s="7"/>
      <c r="D49" s="7"/>
      <c r="E49" s="7"/>
      <c r="F49" s="7"/>
    </row>
    <row r="50" spans="1:6" x14ac:dyDescent="0.4">
      <c r="A50" s="14" t="s">
        <v>1</v>
      </c>
      <c r="B50" s="20"/>
      <c r="C50" s="20"/>
      <c r="D50" s="20"/>
      <c r="E50" s="20"/>
      <c r="F50" s="21"/>
    </row>
    <row r="51" spans="1:6" x14ac:dyDescent="0.4">
      <c r="A51" s="9" t="s">
        <v>6</v>
      </c>
      <c r="B51" s="4"/>
      <c r="C51" s="5">
        <v>33400</v>
      </c>
      <c r="D51" s="5">
        <v>35090</v>
      </c>
      <c r="E51" s="5"/>
      <c r="F51" s="6"/>
    </row>
    <row r="52" spans="1:6" x14ac:dyDescent="0.4">
      <c r="A52" s="3" t="s">
        <v>3</v>
      </c>
      <c r="B52" s="5"/>
      <c r="C52" s="5">
        <v>3600</v>
      </c>
      <c r="D52" s="5">
        <v>3600</v>
      </c>
      <c r="E52" s="5"/>
      <c r="F52" s="6"/>
    </row>
    <row r="53" spans="1:6" s="26" customFormat="1" ht="18" x14ac:dyDescent="0.4">
      <c r="A53" s="22" t="s">
        <v>4</v>
      </c>
      <c r="B53" s="23"/>
      <c r="C53" s="23">
        <f t="shared" ref="C53" si="22">SUM(C51:C52)</f>
        <v>37000</v>
      </c>
      <c r="D53" s="23">
        <f t="shared" ref="D53" si="23">SUM(D51:D52)</f>
        <v>38690</v>
      </c>
      <c r="E53" s="23"/>
      <c r="F53" s="31"/>
    </row>
    <row r="54" spans="1:6" x14ac:dyDescent="0.4">
      <c r="A54" s="3"/>
      <c r="B54" s="5"/>
      <c r="C54" s="5"/>
      <c r="D54" s="5"/>
      <c r="E54" s="5"/>
      <c r="F54" s="6"/>
    </row>
    <row r="55" spans="1:6" x14ac:dyDescent="0.4">
      <c r="A55" s="17" t="s">
        <v>8</v>
      </c>
      <c r="B55" s="18"/>
      <c r="C55" s="18"/>
      <c r="D55" s="18"/>
      <c r="E55" s="18"/>
      <c r="F55" s="19"/>
    </row>
    <row r="56" spans="1:6" x14ac:dyDescent="0.4">
      <c r="A56" s="9" t="s">
        <v>6</v>
      </c>
      <c r="B56" s="4"/>
      <c r="C56" s="5">
        <v>33400</v>
      </c>
      <c r="D56" s="5">
        <v>35090</v>
      </c>
      <c r="E56" s="5"/>
      <c r="F56" s="6"/>
    </row>
    <row r="57" spans="1:6" x14ac:dyDescent="0.4">
      <c r="A57" s="1" t="s">
        <v>9</v>
      </c>
      <c r="B57" s="4"/>
      <c r="C57" s="5">
        <v>9196</v>
      </c>
      <c r="D57" s="5">
        <v>9680</v>
      </c>
      <c r="E57" s="5"/>
      <c r="F57" s="6"/>
    </row>
    <row r="58" spans="1:6" x14ac:dyDescent="0.4">
      <c r="A58" s="3" t="s">
        <v>3</v>
      </c>
      <c r="B58" s="5"/>
      <c r="C58" s="5">
        <v>3600</v>
      </c>
      <c r="D58" s="5">
        <v>3600</v>
      </c>
      <c r="E58" s="5"/>
      <c r="F58" s="6"/>
    </row>
    <row r="59" spans="1:6" s="26" customFormat="1" thickBot="1" x14ac:dyDescent="0.45">
      <c r="A59" s="27" t="s">
        <v>4</v>
      </c>
      <c r="B59" s="28"/>
      <c r="C59" s="38">
        <f t="shared" ref="C59" si="24">SUM(C56:C58)</f>
        <v>46196</v>
      </c>
      <c r="D59" s="38">
        <f t="shared" ref="D59" si="25">SUM(D56:D58)</f>
        <v>48370</v>
      </c>
      <c r="E59" s="28"/>
      <c r="F59" s="32"/>
    </row>
  </sheetData>
  <phoneticPr fontId="3"/>
  <pageMargins left="0.7" right="0.7" top="0.75" bottom="0.75" header="0.3" footer="0.3"/>
  <pageSetup paperSize="9" scale="6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bestone aizumi</dc:creator>
  <cp:lastModifiedBy>bestone aizumi</cp:lastModifiedBy>
  <cp:lastPrinted>2026-02-14T08:47:43Z</cp:lastPrinted>
  <dcterms:created xsi:type="dcterms:W3CDTF">2026-02-14T08:20:25Z</dcterms:created>
  <dcterms:modified xsi:type="dcterms:W3CDTF">2026-02-14T08:50:47Z</dcterms:modified>
</cp:coreProperties>
</file>